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375535\Desktop\"/>
    </mc:Choice>
  </mc:AlternateContent>
  <xr:revisionPtr revIDLastSave="0" documentId="8_{C84F2CAA-EDE4-45A0-A815-4B18D09492E2}" xr6:coauthVersionLast="47" xr6:coauthVersionMax="47" xr10:uidLastSave="{00000000-0000-0000-0000-000000000000}"/>
  <bookViews>
    <workbookView xWindow="19095" yWindow="0" windowWidth="19410" windowHeight="20985" xr2:uid="{E5F47D3B-C3C5-4053-9D42-87F8D5301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G6" i="1"/>
  <c r="F9" i="1"/>
  <c r="F14" i="1"/>
  <c r="E14" i="1"/>
  <c r="F13" i="1"/>
  <c r="E13" i="1"/>
  <c r="F12" i="1"/>
  <c r="E12" i="1"/>
  <c r="F11" i="1"/>
  <c r="E11" i="1"/>
  <c r="F10" i="1"/>
  <c r="E10" i="1"/>
  <c r="F8" i="1"/>
  <c r="E8" i="1"/>
  <c r="F7" i="1"/>
  <c r="E7" i="1"/>
  <c r="F6" i="1"/>
  <c r="E6" i="1"/>
  <c r="J4" i="1"/>
  <c r="K4" i="1" s="1"/>
  <c r="J3" i="1" l="1"/>
  <c r="L4" i="1"/>
  <c r="M4" i="1" s="1"/>
  <c r="N4" i="1" s="1"/>
  <c r="O4" i="1" s="1"/>
  <c r="P4" i="1" l="1"/>
  <c r="Q4" i="1" s="1"/>
  <c r="R4" i="1" s="1"/>
  <c r="S4" i="1" s="1"/>
  <c r="N3" i="1"/>
  <c r="T4" i="1" l="1"/>
  <c r="U4" i="1" s="1"/>
  <c r="V4" i="1" s="1"/>
  <c r="W4" i="1" s="1"/>
  <c r="X4" i="1" s="1"/>
  <c r="R3" i="1"/>
  <c r="W3" i="1" l="1"/>
  <c r="Y4" i="1"/>
  <c r="Z4" i="1" s="1"/>
</calcChain>
</file>

<file path=xl/sharedStrings.xml><?xml version="1.0" encoding="utf-8"?>
<sst xmlns="http://schemas.openxmlformats.org/spreadsheetml/2006/main" count="43" uniqueCount="26">
  <si>
    <t>Project Start Date:</t>
  </si>
  <si>
    <t>Project Name:</t>
  </si>
  <si>
    <t>Week starting:</t>
  </si>
  <si>
    <t>#</t>
  </si>
  <si>
    <t>Activity</t>
  </si>
  <si>
    <t>Assigned To</t>
  </si>
  <si>
    <t>Start</t>
  </si>
  <si>
    <t>End</t>
  </si>
  <si>
    <t>Status</t>
  </si>
  <si>
    <t>%Done</t>
  </si>
  <si>
    <t>Real-Time Market Sentiment and Volatility Tracking</t>
  </si>
  <si>
    <t>Research &amp; Design</t>
  </si>
  <si>
    <t>Evn. Setup</t>
  </si>
  <si>
    <t>Data Ingestion</t>
  </si>
  <si>
    <t>Processing I</t>
  </si>
  <si>
    <t>Midterm Report</t>
  </si>
  <si>
    <t>Processing II</t>
  </si>
  <si>
    <t>Storage</t>
  </si>
  <si>
    <t>Refinement</t>
  </si>
  <si>
    <t>Final Report</t>
  </si>
  <si>
    <t>Michael</t>
  </si>
  <si>
    <t>Days</t>
  </si>
  <si>
    <t>Not started</t>
  </si>
  <si>
    <t>In progress</t>
  </si>
  <si>
    <t>Blocked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</si>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</sst>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m"/>
    <numFmt numFmtId="165" formatCode="mmm"/>
    <numFmt numFmtId="166" formatCode="d/mmm/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FF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3">
    <xf numFmtId="0" fontId="0" fillId="0" borderId="0" xfId="0"/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0" fontId="0" fillId="0" borderId="0" xfId="0" applyBorder="1"/>
    <xf numFmtId="0" fontId="0" fillId="0" borderId="4" xfId="0" applyBorder="1"/>
    <xf numFmtId="164" fontId="0" fillId="0" borderId="5" xfId="0" applyNumberFormat="1" applyBorder="1" applyAlignment="1">
      <alignment textRotation="90"/>
    </xf>
    <xf numFmtId="164" fontId="0" fillId="0" borderId="6" xfId="0" applyNumberFormat="1" applyBorder="1" applyAlignment="1">
      <alignment textRotation="90"/>
    </xf>
    <xf numFmtId="164" fontId="0" fillId="0" borderId="7" xfId="0" applyNumberFormat="1" applyBorder="1" applyAlignment="1">
      <alignment textRotation="90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0" fillId="0" borderId="4" xfId="0" applyBorder="1" applyAlignment="1">
      <alignment vertical="top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4" xfId="0" applyBorder="1" applyAlignment="1">
      <alignment horizontal="left" vertical="center" indent="2"/>
    </xf>
    <xf numFmtId="0" fontId="0" fillId="0" borderId="11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3" borderId="8" xfId="0" applyFon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166" fontId="0" fillId="0" borderId="8" xfId="0" applyNumberFormat="1" applyBorder="1" applyAlignment="1">
      <alignment horizontal="left" indent="1"/>
    </xf>
    <xf numFmtId="15" fontId="0" fillId="4" borderId="0" xfId="0" applyNumberFormat="1" applyFill="1" applyBorder="1" applyAlignment="1">
      <alignment horizontal="center"/>
    </xf>
  </cellXfs>
  <cellStyles count="1">
    <cellStyle name="Normal" xfId="0" builtinId="0"/>
  </cellStyles>
  <dxfs count="12">
    <dxf>
      <border>
        <left style="thin">
          <color auto="1"/>
        </left>
        <vertical/>
        <horizontal/>
      </border>
    </dxf>
    <dxf>
      <fill>
        <patternFill>
          <bgColor rgb="FFCCFFFF"/>
        </patternFill>
      </fill>
    </dxf>
    <dxf>
      <border>
        <left style="thin">
          <color auto="1"/>
        </left>
        <vertical/>
        <horizontal/>
      </border>
    </dxf>
    <dxf>
      <fill>
        <patternFill>
          <bgColor theme="5" tint="0.79998168889431442"/>
        </patternFill>
      </fill>
    </dxf>
    <dxf>
      <border>
        <left style="thin">
          <color auto="1"/>
        </left>
        <vertical/>
        <horizontal/>
      </border>
    </dxf>
    <dxf>
      <fill>
        <patternFill>
          <bgColor rgb="FFCCFFFF"/>
        </patternFill>
      </fill>
    </dxf>
    <dxf>
      <border>
        <left style="thin">
          <color auto="1"/>
        </left>
        <vertical/>
        <horizontal/>
      </border>
    </dxf>
    <dxf>
      <fill>
        <patternFill>
          <bgColor rgb="FFCCFFFF"/>
        </patternFill>
      </fill>
    </dxf>
    <dxf>
      <border>
        <left style="thin">
          <color auto="1"/>
        </left>
        <vertical/>
        <horizontal/>
      </border>
    </dxf>
    <dxf>
      <fill>
        <patternFill>
          <bgColor theme="9"/>
        </patternFill>
      </fill>
    </dxf>
    <dxf>
      <border>
        <left style="thin">
          <color auto="1"/>
        </left>
        <vertical/>
        <horizontal/>
      </border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5323-04FC-4774-AB28-BDE0F3A2F878}">
  <dimension ref="B3:Z27"/>
  <sheetViews>
    <sheetView showGridLines="0" tabSelected="1" workbookViewId="0">
      <selection activeCell="J28" sqref="J28"/>
    </sheetView>
  </sheetViews>
  <sheetFormatPr defaultRowHeight="15" x14ac:dyDescent="0.25"/>
  <cols>
    <col min="1" max="1" width="2.140625" customWidth="1"/>
    <col min="2" max="2" width="4.140625" customWidth="1"/>
    <col min="3" max="3" width="16.5703125" customWidth="1"/>
    <col min="4" max="4" width="14.85546875" customWidth="1"/>
    <col min="5" max="5" width="11.28515625" customWidth="1"/>
    <col min="6" max="6" width="12" customWidth="1"/>
    <col min="8" max="8" width="11.28515625" customWidth="1"/>
    <col min="9" max="9" width="16" customWidth="1"/>
    <col min="10" max="26" width="3.7109375" bestFit="1" customWidth="1"/>
  </cols>
  <sheetData>
    <row r="3" spans="2:26" x14ac:dyDescent="0.25">
      <c r="C3" s="15" t="s">
        <v>0</v>
      </c>
      <c r="D3" s="32">
        <v>46028</v>
      </c>
      <c r="E3" s="5"/>
      <c r="F3" s="5"/>
      <c r="G3" s="5"/>
      <c r="H3" s="5"/>
      <c r="I3" s="5"/>
      <c r="J3" s="1">
        <f>K4</f>
        <v>46035</v>
      </c>
      <c r="K3" s="2"/>
      <c r="L3" s="2"/>
      <c r="M3" s="2"/>
      <c r="N3" s="3">
        <f>O4</f>
        <v>46063</v>
      </c>
      <c r="O3" s="3"/>
      <c r="P3" s="3"/>
      <c r="Q3" s="3"/>
      <c r="R3" s="2">
        <f>S4</f>
        <v>46091</v>
      </c>
      <c r="S3" s="2"/>
      <c r="T3" s="2"/>
      <c r="U3" s="2"/>
      <c r="V3" s="2"/>
      <c r="W3" s="3">
        <f>X4</f>
        <v>46126</v>
      </c>
      <c r="X3" s="3"/>
      <c r="Y3" s="3"/>
      <c r="Z3" s="4"/>
    </row>
    <row r="4" spans="2:26" ht="37.5" x14ac:dyDescent="0.25">
      <c r="C4" s="14" t="s">
        <v>1</v>
      </c>
      <c r="D4" s="21" t="s">
        <v>10</v>
      </c>
      <c r="E4" s="6"/>
      <c r="F4" s="6"/>
      <c r="G4" s="6"/>
      <c r="H4" s="6"/>
      <c r="I4" s="16" t="s">
        <v>2</v>
      </c>
      <c r="J4" s="7">
        <f>D3</f>
        <v>46028</v>
      </c>
      <c r="K4" s="8">
        <f>J4+7</f>
        <v>46035</v>
      </c>
      <c r="L4" s="8">
        <f t="shared" ref="L4:Z4" si="0">K4+7</f>
        <v>46042</v>
      </c>
      <c r="M4" s="8">
        <f t="shared" si="0"/>
        <v>46049</v>
      </c>
      <c r="N4" s="8">
        <f t="shared" si="0"/>
        <v>46056</v>
      </c>
      <c r="O4" s="8">
        <f t="shared" si="0"/>
        <v>46063</v>
      </c>
      <c r="P4" s="8">
        <f t="shared" si="0"/>
        <v>46070</v>
      </c>
      <c r="Q4" s="8">
        <f t="shared" si="0"/>
        <v>46077</v>
      </c>
      <c r="R4" s="8">
        <f t="shared" si="0"/>
        <v>46084</v>
      </c>
      <c r="S4" s="8">
        <f t="shared" si="0"/>
        <v>46091</v>
      </c>
      <c r="T4" s="8">
        <f t="shared" si="0"/>
        <v>46098</v>
      </c>
      <c r="U4" s="8">
        <f t="shared" si="0"/>
        <v>46105</v>
      </c>
      <c r="V4" s="8">
        <f>U4+7</f>
        <v>46112</v>
      </c>
      <c r="W4" s="8">
        <f t="shared" si="0"/>
        <v>46119</v>
      </c>
      <c r="X4" s="8">
        <f t="shared" si="0"/>
        <v>46126</v>
      </c>
      <c r="Y4" s="8">
        <f t="shared" si="0"/>
        <v>46133</v>
      </c>
      <c r="Z4" s="9">
        <f t="shared" si="0"/>
        <v>46140</v>
      </c>
    </row>
    <row r="5" spans="2:26" x14ac:dyDescent="0.25">
      <c r="B5" s="17" t="s">
        <v>3</v>
      </c>
      <c r="C5" s="18" t="s">
        <v>4</v>
      </c>
      <c r="D5" s="19" t="s">
        <v>5</v>
      </c>
      <c r="E5" s="19" t="s">
        <v>6</v>
      </c>
      <c r="F5" s="19" t="s">
        <v>7</v>
      </c>
      <c r="G5" s="19" t="s">
        <v>21</v>
      </c>
      <c r="H5" s="19" t="s">
        <v>8</v>
      </c>
      <c r="I5" s="19" t="s">
        <v>9</v>
      </c>
      <c r="J5" s="28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30"/>
    </row>
    <row r="6" spans="2:26" x14ac:dyDescent="0.25">
      <c r="B6" s="20">
        <v>1</v>
      </c>
      <c r="C6" s="22" t="s">
        <v>11</v>
      </c>
      <c r="D6" s="23" t="s">
        <v>20</v>
      </c>
      <c r="E6" s="25">
        <f>J4</f>
        <v>46028</v>
      </c>
      <c r="F6" s="25">
        <f>K4</f>
        <v>46035</v>
      </c>
      <c r="G6" s="24">
        <f>IF(F6="","",NETWORKDAYS(E6,F6))</f>
        <v>6</v>
      </c>
      <c r="H6" s="26" t="s">
        <v>25</v>
      </c>
      <c r="I6" s="27">
        <v>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2:26" x14ac:dyDescent="0.25">
      <c r="B7" s="20">
        <v>2</v>
      </c>
      <c r="C7" s="22" t="s">
        <v>12</v>
      </c>
      <c r="D7" s="23" t="s">
        <v>20</v>
      </c>
      <c r="E7" s="25">
        <f>F6</f>
        <v>46035</v>
      </c>
      <c r="F7" s="25">
        <f>L4</f>
        <v>46042</v>
      </c>
      <c r="G7" s="24">
        <v>3</v>
      </c>
      <c r="H7" s="26" t="s">
        <v>25</v>
      </c>
      <c r="I7" s="27">
        <v>1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2:26" x14ac:dyDescent="0.25">
      <c r="B8" s="20">
        <v>3</v>
      </c>
      <c r="C8" s="22" t="s">
        <v>13</v>
      </c>
      <c r="D8" s="23" t="s">
        <v>20</v>
      </c>
      <c r="E8" s="25">
        <f>F7</f>
        <v>46042</v>
      </c>
      <c r="F8" s="25">
        <f>M4</f>
        <v>46049</v>
      </c>
      <c r="G8" s="24">
        <v>4</v>
      </c>
      <c r="H8" s="26" t="s">
        <v>23</v>
      </c>
      <c r="I8" s="27">
        <v>0.7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2:26" x14ac:dyDescent="0.25">
      <c r="B9" s="20">
        <v>4</v>
      </c>
      <c r="C9" s="22" t="s">
        <v>14</v>
      </c>
      <c r="D9" s="23" t="s">
        <v>20</v>
      </c>
      <c r="E9" s="31">
        <f>N4</f>
        <v>46056</v>
      </c>
      <c r="F9" s="25">
        <f>O4</f>
        <v>46063</v>
      </c>
      <c r="G9" s="24">
        <v>4</v>
      </c>
      <c r="H9" s="26" t="s">
        <v>22</v>
      </c>
      <c r="I9" s="27">
        <v>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2:26" x14ac:dyDescent="0.25">
      <c r="B10" s="20">
        <v>5</v>
      </c>
      <c r="C10" s="22" t="s">
        <v>15</v>
      </c>
      <c r="D10" s="23" t="s">
        <v>20</v>
      </c>
      <c r="E10" s="31">
        <f>P4</f>
        <v>46070</v>
      </c>
      <c r="F10" s="25">
        <f>Q4</f>
        <v>46077</v>
      </c>
      <c r="G10" s="24">
        <v>4</v>
      </c>
      <c r="H10" s="26" t="s">
        <v>22</v>
      </c>
      <c r="I10" s="27">
        <v>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2:26" x14ac:dyDescent="0.25">
      <c r="B11" s="20">
        <v>6</v>
      </c>
      <c r="C11" s="22" t="s">
        <v>16</v>
      </c>
      <c r="D11" s="23" t="s">
        <v>20</v>
      </c>
      <c r="E11" s="25">
        <f>R4</f>
        <v>46084</v>
      </c>
      <c r="F11" s="25">
        <f>S4</f>
        <v>46091</v>
      </c>
      <c r="G11" s="24">
        <v>4</v>
      </c>
      <c r="H11" s="26" t="s">
        <v>22</v>
      </c>
      <c r="I11" s="27">
        <v>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2:26" x14ac:dyDescent="0.25">
      <c r="B12" s="20">
        <v>7</v>
      </c>
      <c r="C12" s="22" t="s">
        <v>17</v>
      </c>
      <c r="D12" s="23" t="s">
        <v>20</v>
      </c>
      <c r="E12" s="25">
        <f>T4</f>
        <v>46098</v>
      </c>
      <c r="F12" s="25">
        <f>U4</f>
        <v>46105</v>
      </c>
      <c r="G12" s="24">
        <v>4</v>
      </c>
      <c r="H12" s="26" t="s">
        <v>22</v>
      </c>
      <c r="I12" s="27">
        <v>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2:26" x14ac:dyDescent="0.25">
      <c r="B13" s="20">
        <v>8</v>
      </c>
      <c r="C13" s="22" t="s">
        <v>18</v>
      </c>
      <c r="D13" s="23" t="s">
        <v>20</v>
      </c>
      <c r="E13" s="25">
        <f>U4</f>
        <v>46105</v>
      </c>
      <c r="F13" s="25">
        <f>V4</f>
        <v>46112</v>
      </c>
      <c r="G13" s="24">
        <v>4</v>
      </c>
      <c r="H13" s="26" t="s">
        <v>22</v>
      </c>
      <c r="I13" s="27">
        <v>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2:26" x14ac:dyDescent="0.25">
      <c r="B14" s="20">
        <v>9</v>
      </c>
      <c r="C14" s="22" t="s">
        <v>19</v>
      </c>
      <c r="D14" s="23" t="s">
        <v>20</v>
      </c>
      <c r="E14" s="25">
        <f>F13</f>
        <v>46112</v>
      </c>
      <c r="F14" s="25">
        <f>W4</f>
        <v>46119</v>
      </c>
      <c r="G14" s="24">
        <v>4</v>
      </c>
      <c r="H14" s="26" t="s">
        <v>22</v>
      </c>
      <c r="I14" s="27">
        <v>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2:26" x14ac:dyDescent="0.25">
      <c r="B15" s="20">
        <v>10</v>
      </c>
      <c r="C15" s="12"/>
      <c r="D15" s="10"/>
      <c r="E15" s="10"/>
      <c r="F15" s="10"/>
      <c r="G15" s="10"/>
      <c r="H15" s="10"/>
      <c r="I15" s="1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2:26" x14ac:dyDescent="0.25">
      <c r="B16" s="10"/>
      <c r="C16" s="12"/>
      <c r="D16" s="10"/>
      <c r="E16" s="10"/>
      <c r="F16" s="10"/>
      <c r="G16" s="10"/>
      <c r="H16" s="10"/>
      <c r="I16" s="10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2:26" x14ac:dyDescent="0.25">
      <c r="B17" s="10"/>
      <c r="C17" s="12"/>
      <c r="D17" s="10"/>
      <c r="E17" s="10"/>
      <c r="F17" s="10"/>
      <c r="G17" s="10"/>
      <c r="H17" s="10"/>
      <c r="I17" s="10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x14ac:dyDescent="0.25">
      <c r="B18" s="10"/>
      <c r="C18" s="12"/>
      <c r="D18" s="10"/>
      <c r="E18" s="10"/>
      <c r="F18" s="10"/>
      <c r="G18" s="10"/>
      <c r="H18" s="10"/>
      <c r="I18" s="10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2:26" x14ac:dyDescent="0.25">
      <c r="B19" s="10"/>
      <c r="C19" s="12"/>
      <c r="D19" s="10"/>
      <c r="E19" s="10"/>
      <c r="F19" s="10"/>
      <c r="G19" s="10"/>
      <c r="H19" s="10"/>
      <c r="I19" s="10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2:26" x14ac:dyDescent="0.25">
      <c r="B20" s="10"/>
      <c r="C20" s="12"/>
      <c r="D20" s="10"/>
      <c r="E20" s="10"/>
      <c r="F20" s="10"/>
      <c r="G20" s="10"/>
      <c r="H20" s="10"/>
      <c r="I20" s="10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2:26" x14ac:dyDescent="0.25">
      <c r="B21" s="11"/>
      <c r="C21" s="11"/>
      <c r="D21" s="11"/>
      <c r="E21" s="11"/>
      <c r="F21" s="11"/>
      <c r="G21" s="11"/>
      <c r="H21" s="11"/>
      <c r="I21" s="11"/>
    </row>
    <row r="24" spans="2:26" x14ac:dyDescent="0.25">
      <c r="C24" t="s">
        <v>22</v>
      </c>
    </row>
    <row r="25" spans="2:26" x14ac:dyDescent="0.25">
      <c r="C25" t="s">
        <v>23</v>
      </c>
    </row>
    <row r="26" spans="2:26" x14ac:dyDescent="0.25">
      <c r="C26" t="s">
        <v>24</v>
      </c>
    </row>
    <row r="27" spans="2:26" x14ac:dyDescent="0.25">
      <c r="C27" t="s">
        <v>25</v>
      </c>
    </row>
  </sheetData>
  <mergeCells count="5">
    <mergeCell ref="J3:M3"/>
    <mergeCell ref="N3:Q3"/>
    <mergeCell ref="R3:V3"/>
    <mergeCell ref="W3:Z3"/>
    <mergeCell ref="J5:Z5"/>
  </mergeCells>
  <conditionalFormatting sqref="H6:H14">
    <cfRule type="containsText" dxfId="11" priority="10" operator="containsText" text="Blocked">
      <formula>NOT(ISERROR(SEARCH("Blocked",H6)))</formula>
    </cfRule>
  </conditionalFormatting>
  <conditionalFormatting sqref="J6:Z14">
    <cfRule type="expression" dxfId="4" priority="9">
      <formula>J$6=(TODAY()-WEEKDAY(TODAY(),2)+1)</formula>
    </cfRule>
    <cfRule type="expression" dxfId="5" priority="8">
      <formula>"and(J$4&gt;=$E6-(WEEKDAY($E6, 2)+1,j$4&lt;=$F6)"</formula>
    </cfRule>
    <cfRule type="expression" dxfId="6" priority="2">
      <formula>J$4=(TODAY()-WEEKDAY(TODAY(),2)+1)</formula>
    </cfRule>
    <cfRule type="expression" dxfId="3" priority="1">
      <formula>AND($H6="Complete",J$4=$F6-WEEKDAY($F6,2)+1)</formula>
    </cfRule>
  </conditionalFormatting>
  <conditionalFormatting sqref="J6:Z15">
    <cfRule type="expression" dxfId="9" priority="6">
      <formula>AND(J$4&gt;=$E6-(WEEKDAY($E6,2)+1),J$4&lt;=$F6)</formula>
    </cfRule>
  </conditionalFormatting>
  <dataValidations count="1">
    <dataValidation type="list" allowBlank="1" showInputMessage="1" showErrorMessage="1" sqref="H6:H14" xr:uid="{68CC0F50-8DAC-42F9-A683-2C00BF945122}">
      <formula1>$C$24:$C$27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Htet Hein, Michael</dc:creator>
  <cp:lastModifiedBy>Kyaw Htet Hein, Michael</cp:lastModifiedBy>
  <dcterms:created xsi:type="dcterms:W3CDTF">2026-01-20T22:02:52Z</dcterms:created>
  <dcterms:modified xsi:type="dcterms:W3CDTF">2026-01-21T00:28:16Z</dcterms:modified>
</cp:coreProperties>
</file>